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RF - Funcionales" sheetId="2" state="visible" r:id="rId2"/>
    <sheet xmlns:r="http://schemas.openxmlformats.org/officeDocument/2006/relationships" name="RNF - No Funcionales" sheetId="3" state="visible" r:id="rId3"/>
    <sheet xmlns:r="http://schemas.openxmlformats.org/officeDocument/2006/relationships" name="Resumen" sheetId="4" state="visible" r:id="rId4"/>
  </sheets>
  <definedNames>
    <definedName name="_xlnm._FilterDatabase" localSheetId="1" hidden="1">'RF - Funcionales'!$A$1:$H$1</definedName>
    <definedName name="_xlnm._FilterDatabase" localSheetId="2" hidden="1">'RNF - No Funcionales'!$A$1:$I$1</definedName>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Calibri"/>
      <b val="1"/>
      <color rgb="001A3A5C"/>
      <sz val="16"/>
    </font>
    <font>
      <name val="Calibri"/>
      <color rgb="00E07B2A"/>
      <sz val="11"/>
    </font>
    <font>
      <name val="Calibri"/>
      <color rgb="00FFFFFF"/>
      <sz val="11"/>
    </font>
    <font>
      <name val="Calibri"/>
      <b val="1"/>
      <color rgb="001A3A5C"/>
      <sz val="12"/>
    </font>
    <font>
      <name val="Calibri"/>
      <color rgb="00333333"/>
      <sz val="10"/>
    </font>
    <font>
      <name val="Calibri"/>
      <color rgb="00FFFFFF"/>
      <sz val="10"/>
    </font>
    <font>
      <name val="Calibri"/>
      <b val="1"/>
      <color rgb="001A3A5C"/>
      <sz val="11"/>
    </font>
    <font>
      <name val="Calibri"/>
      <color rgb="00C62828"/>
      <sz val="10"/>
    </font>
    <font>
      <name val="Calibri"/>
      <b val="1"/>
      <color rgb="00FFFFFF"/>
      <sz val="11"/>
    </font>
    <font>
      <name val="Calibri"/>
      <b val="1"/>
      <sz val="10"/>
    </font>
    <font>
      <name val="Calibri"/>
      <sz val="10"/>
    </font>
    <font>
      <name val="Calibri"/>
      <b val="1"/>
      <color rgb="00FFFFFF"/>
      <sz val="14"/>
    </font>
    <font>
      <name val="Calibri"/>
      <i val="1"/>
      <color rgb="00555555"/>
      <sz val="10"/>
    </font>
  </fonts>
  <fills count="15">
    <fill>
      <patternFill/>
    </fill>
    <fill>
      <patternFill patternType="gray125"/>
    </fill>
    <fill>
      <patternFill patternType="solid">
        <fgColor rgb="001A3A5C"/>
      </patternFill>
    </fill>
    <fill>
      <patternFill patternType="solid">
        <fgColor rgb="00FFF3E0"/>
      </patternFill>
    </fill>
    <fill>
      <patternFill patternType="solid">
        <fgColor rgb="00E3F2FD"/>
      </patternFill>
    </fill>
    <fill>
      <patternFill patternType="solid">
        <fgColor rgb="00F3E5F5"/>
      </patternFill>
    </fill>
    <fill>
      <patternFill patternType="solid">
        <fgColor rgb="00EBF3FB"/>
      </patternFill>
    </fill>
    <fill>
      <patternFill patternType="solid">
        <fgColor rgb="00E07B2A"/>
      </patternFill>
    </fill>
    <fill>
      <patternFill patternType="solid">
        <fgColor rgb="00FAFAFA"/>
      </patternFill>
    </fill>
    <fill>
      <patternFill patternType="solid">
        <fgColor rgb="002E5077"/>
      </patternFill>
    </fill>
    <fill>
      <patternFill patternType="solid">
        <fgColor rgb="00FFF9C4"/>
      </patternFill>
    </fill>
    <fill>
      <patternFill patternType="solid">
        <fgColor rgb="00E8F5E9"/>
      </patternFill>
    </fill>
    <fill>
      <patternFill patternType="solid">
        <fgColor rgb="00C8E6C9"/>
      </patternFill>
    </fill>
    <fill>
      <patternFill patternType="solid">
        <fgColor rgb="00FFCDD2"/>
      </patternFill>
    </fill>
    <fill>
      <patternFill patternType="solid">
        <fgColor rgb="00F4F6F9"/>
      </patternFill>
    </fill>
  </fills>
  <borders count="5">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s>
  <cellStyleXfs count="1">
    <xf numFmtId="0" fontId="0" fillId="0" borderId="0"/>
  </cellStyleXfs>
  <cellXfs count="42">
    <xf numFmtId="0" fontId="0" fillId="0" borderId="0" pivotButton="0" quotePrefix="0" xfId="0"/>
    <xf numFmtId="0" fontId="1" fillId="0" borderId="0" applyAlignment="1" pivotButton="0" quotePrefix="0" xfId="0">
      <alignment horizontal="left" vertical="center" wrapText="1"/>
    </xf>
    <xf numFmtId="0" fontId="2" fillId="0" borderId="0" applyAlignment="1" pivotButton="0" quotePrefix="0" xfId="0">
      <alignment horizontal="left" vertical="center" wrapText="1"/>
    </xf>
    <xf numFmtId="0" fontId="3" fillId="0" borderId="0" applyAlignment="1" pivotButton="0" quotePrefix="0" xfId="0">
      <alignment horizontal="left" vertical="center" wrapText="1"/>
    </xf>
    <xf numFmtId="0" fontId="4" fillId="0" borderId="0" applyAlignment="1" pivotButton="0" quotePrefix="0" xfId="0">
      <alignment horizontal="left" vertical="center" wrapText="1"/>
    </xf>
    <xf numFmtId="0" fontId="5" fillId="0" borderId="0" applyAlignment="1" pivotButton="0" quotePrefix="0" xfId="0">
      <alignment horizontal="left" vertical="center" wrapText="1"/>
    </xf>
    <xf numFmtId="0" fontId="6" fillId="0" borderId="0" applyAlignment="1" pivotButton="0" quotePrefix="0" xfId="0">
      <alignment horizontal="left" vertical="center" wrapText="1"/>
    </xf>
    <xf numFmtId="0" fontId="7"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2" borderId="1" applyAlignment="1" pivotButton="0" quotePrefix="0" xfId="0">
      <alignment horizontal="center" vertical="center" wrapText="1"/>
    </xf>
    <xf numFmtId="0" fontId="10" fillId="3" borderId="1" applyAlignment="1" pivotButton="0" quotePrefix="0" xfId="0">
      <alignment horizontal="center" vertical="center" wrapText="1"/>
    </xf>
    <xf numFmtId="0" fontId="11" fillId="3" borderId="1" applyAlignment="1" pivotButton="0" quotePrefix="0" xfId="0">
      <alignment horizontal="left" vertical="center" wrapText="1"/>
    </xf>
    <xf numFmtId="0" fontId="11" fillId="3" borderId="1" applyAlignment="1" pivotButton="0" quotePrefix="0" xfId="0">
      <alignment horizontal="center" vertical="center" wrapText="1"/>
    </xf>
    <xf numFmtId="0" fontId="10" fillId="4" borderId="1" applyAlignment="1" pivotButton="0" quotePrefix="0" xfId="0">
      <alignment horizontal="center" vertical="center" wrapText="1"/>
    </xf>
    <xf numFmtId="0" fontId="11" fillId="4" borderId="1" applyAlignment="1" pivotButton="0" quotePrefix="0" xfId="0">
      <alignment horizontal="left" vertical="center" wrapText="1"/>
    </xf>
    <xf numFmtId="0" fontId="11" fillId="4" borderId="1" applyAlignment="1" pivotButton="0" quotePrefix="0" xfId="0">
      <alignment horizontal="center" vertical="center" wrapText="1"/>
    </xf>
    <xf numFmtId="0" fontId="10" fillId="5" borderId="1" applyAlignment="1" pivotButton="0" quotePrefix="0" xfId="0">
      <alignment horizontal="center" vertical="center" wrapText="1"/>
    </xf>
    <xf numFmtId="0" fontId="11" fillId="5" borderId="1" applyAlignment="1" pivotButton="0" quotePrefix="0" xfId="0">
      <alignment horizontal="left" vertical="center" wrapText="1"/>
    </xf>
    <xf numFmtId="0" fontId="11" fillId="5" borderId="1" applyAlignment="1" pivotButton="0" quotePrefix="0" xfId="0">
      <alignment horizontal="center" vertical="center" wrapText="1"/>
    </xf>
    <xf numFmtId="0" fontId="12" fillId="2" borderId="1" applyAlignment="1" pivotButton="0" quotePrefix="0" xfId="0">
      <alignment horizontal="center" vertical="center" wrapText="1"/>
    </xf>
    <xf numFmtId="0" fontId="0" fillId="0" borderId="4" pivotButton="0" quotePrefix="0" xfId="0"/>
    <xf numFmtId="0" fontId="13" fillId="0" borderId="0" pivotButton="0" quotePrefix="0" xfId="0"/>
    <xf numFmtId="0" fontId="9" fillId="2" borderId="1" applyAlignment="1" pivotButton="0" quotePrefix="0" xfId="0">
      <alignment horizontal="left" vertical="center" wrapText="1"/>
    </xf>
    <xf numFmtId="0" fontId="11" fillId="6" borderId="1" applyAlignment="1" pivotButton="0" quotePrefix="0" xfId="0">
      <alignment horizontal="left" vertical="center" wrapText="1"/>
    </xf>
    <xf numFmtId="0" fontId="7" fillId="6" borderId="1" applyAlignment="1" pivotButton="0" quotePrefix="0" xfId="0">
      <alignment horizontal="center" vertical="center" wrapText="1"/>
    </xf>
    <xf numFmtId="0" fontId="9" fillId="7" borderId="1" applyAlignment="1" pivotButton="0" quotePrefix="0" xfId="0">
      <alignment horizontal="left" vertical="center" wrapText="1"/>
    </xf>
    <xf numFmtId="0" fontId="7" fillId="3" borderId="1" applyAlignment="1" pivotButton="0" quotePrefix="0" xfId="0">
      <alignment horizontal="center" vertical="center" wrapText="1"/>
    </xf>
    <xf numFmtId="0" fontId="7" fillId="4" borderId="1" applyAlignment="1" pivotButton="0" quotePrefix="0" xfId="0">
      <alignment horizontal="center" vertical="center" wrapText="1"/>
    </xf>
    <xf numFmtId="0" fontId="7" fillId="5" borderId="1" applyAlignment="1" pivotButton="0" quotePrefix="0" xfId="0">
      <alignment horizontal="center" vertical="center" wrapText="1"/>
    </xf>
    <xf numFmtId="0" fontId="11" fillId="8" borderId="1" applyAlignment="1" pivotButton="0" quotePrefix="0" xfId="0">
      <alignment horizontal="left" vertical="center" wrapText="1"/>
    </xf>
    <xf numFmtId="0" fontId="7" fillId="8" borderId="1" applyAlignment="1" pivotButton="0" quotePrefix="0" xfId="0">
      <alignment horizontal="center" vertical="center" wrapText="1"/>
    </xf>
    <xf numFmtId="0" fontId="9" fillId="9" borderId="1" applyAlignment="1" pivotButton="0" quotePrefix="0" xfId="0">
      <alignment horizontal="left" vertical="center" wrapText="1"/>
    </xf>
    <xf numFmtId="0" fontId="11" fillId="10" borderId="1" applyAlignment="1" pivotButton="0" quotePrefix="0" xfId="0">
      <alignment horizontal="left" vertical="center" wrapText="1"/>
    </xf>
    <xf numFmtId="0" fontId="7" fillId="10" borderId="1" applyAlignment="1" pivotButton="0" quotePrefix="0" xfId="0">
      <alignment horizontal="center" vertical="center" wrapText="1"/>
    </xf>
    <xf numFmtId="0" fontId="11" fillId="11" borderId="1" applyAlignment="1" pivotButton="0" quotePrefix="0" xfId="0">
      <alignment horizontal="left" vertical="center" wrapText="1"/>
    </xf>
    <xf numFmtId="0" fontId="7" fillId="11" borderId="1" applyAlignment="1" pivotButton="0" quotePrefix="0" xfId="0">
      <alignment horizontal="center" vertical="center" wrapText="1"/>
    </xf>
    <xf numFmtId="0" fontId="11" fillId="12" borderId="1" applyAlignment="1" pivotButton="0" quotePrefix="0" xfId="0">
      <alignment horizontal="left" vertical="center" wrapText="1"/>
    </xf>
    <xf numFmtId="0" fontId="7" fillId="12" borderId="1" applyAlignment="1" pivotButton="0" quotePrefix="0" xfId="0">
      <alignment horizontal="center" vertical="center" wrapText="1"/>
    </xf>
    <xf numFmtId="0" fontId="11" fillId="13" borderId="1" applyAlignment="1" pivotButton="0" quotePrefix="0" xfId="0">
      <alignment horizontal="left" vertical="center" wrapText="1"/>
    </xf>
    <xf numFmtId="0" fontId="7" fillId="13" borderId="1" applyAlignment="1" pivotButton="0" quotePrefix="0" xfId="0">
      <alignment horizontal="center" vertical="center" wrapText="1"/>
    </xf>
    <xf numFmtId="0" fontId="11" fillId="14" borderId="1" applyAlignment="1" pivotButton="0" quotePrefix="0" xfId="0">
      <alignment horizontal="left" vertical="center" wrapText="1"/>
    </xf>
    <xf numFmtId="0" fontId="7" fillId="14"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8"/>
  <sheetViews>
    <sheetView workbookViewId="0">
      <selection activeCell="A1" sqref="A1"/>
    </sheetView>
  </sheetViews>
  <sheetFormatPr baseColWidth="8" defaultRowHeight="15"/>
  <cols>
    <col width="110" customWidth="1" min="1" max="1"/>
  </cols>
  <sheetData>
    <row r="1" ht="30" customHeight="1">
      <c r="A1" s="1" t="inlineStr">
        <is>
          <t>MATRIZ DE REQUERIMIENTOS - PROTOCEM</t>
        </is>
      </c>
    </row>
    <row r="2" ht="18" customHeight="1">
      <c r="A2" s="2" t="inlineStr">
        <is>
          <t>Proyectos Topograficos y Construcciones | Modelado de Requerimientos | UAA 2025</t>
        </is>
      </c>
    </row>
    <row r="3" ht="18" customHeight="1">
      <c r="A3" s="3" t="inlineStr"/>
    </row>
    <row r="4" ht="24" customHeight="1">
      <c r="A4" s="4" t="inlineStr">
        <is>
          <t>Proposito de esta matriz</t>
        </is>
      </c>
    </row>
    <row r="5" ht="18" customHeight="1">
      <c r="A5" s="5" t="inlineStr">
        <is>
          <t>Esta matriz documenta, prioriza y da seguimiento a los requerimientos identificados en la entrevista con el Ing. Carlos Macias Chairez de Protocem.</t>
        </is>
      </c>
    </row>
    <row r="6" ht="18" customHeight="1">
      <c r="A6" s="5" t="inlineStr">
        <is>
          <t>Disenada para refinamiento iterativo: se puede ir agregando y modificando conforme avanzan las entrevistas.</t>
        </is>
      </c>
    </row>
    <row r="7" ht="18" customHeight="1">
      <c r="A7" s="6" t="inlineStr"/>
    </row>
    <row r="8" ht="24" customHeight="1">
      <c r="A8" s="4" t="inlineStr">
        <is>
          <t>Como usar esta plantilla:</t>
        </is>
      </c>
    </row>
    <row r="9" ht="18" customHeight="1">
      <c r="A9" s="5" t="inlineStr">
        <is>
          <t>1. Vayan a la pestana 'RF - Funcionales' y documenten todos los requerimientos funcionales identificados.</t>
        </is>
      </c>
    </row>
    <row r="10" ht="18" customHeight="1">
      <c r="A10" s="5" t="inlineStr">
        <is>
          <t>2. Vayan a la pestana 'RNF - No Funcionales' y documenten los no funcionales.</t>
        </is>
      </c>
    </row>
    <row r="11" ht="18" customHeight="1">
      <c r="A11" s="5" t="inlineStr">
        <is>
          <t>3. La pestana 'Resumen' muestra estadisticas automaticas con formulas.</t>
        </is>
      </c>
    </row>
    <row r="12" ht="18" customHeight="1">
      <c r="A12" s="5" t="inlineStr">
        <is>
          <t>4. Usen los filtros de las columnas para ordenar por prioridad, estado, etc.</t>
        </is>
      </c>
    </row>
    <row r="13" ht="18" customHeight="1">
      <c r="A13" s="6" t="inlineStr"/>
    </row>
    <row r="14" ht="24" customHeight="1">
      <c r="A14" s="4" t="inlineStr">
        <is>
          <t>Descripcion de columnas:</t>
        </is>
      </c>
    </row>
    <row r="15" ht="18" customHeight="1">
      <c r="A15" s="5" t="inlineStr">
        <is>
          <t>ID: Identificador unico. Formato RF-01... para funcionales; RNF-01... para no funcionales.</t>
        </is>
      </c>
    </row>
    <row r="16" ht="18" customHeight="1">
      <c r="A16" s="5" t="inlineStr">
        <is>
          <t>Descripcion: Redactar en formato 'El sistema debe...' Ser especifico y claro.</t>
        </is>
      </c>
    </row>
    <row r="17" ht="18" customHeight="1">
      <c r="A17" s="5" t="inlineStr">
        <is>
          <t>Criterio de Aceptacion: Como sabemos que el requerimiento esta cumplido? OBLIGATORIO para Must-have.</t>
        </is>
      </c>
    </row>
    <row r="18" ht="18" customHeight="1">
      <c r="A18" s="7" t="inlineStr">
        <is>
          <t>Prioridad - Metodologia MoSCoW:</t>
        </is>
      </c>
    </row>
    <row r="19" ht="18" customHeight="1">
      <c r="A19" s="5" t="inlineStr">
        <is>
          <t xml:space="preserve">  Must have: Sin esto, el sistema no tiene sentido</t>
        </is>
      </c>
    </row>
    <row r="20" ht="18" customHeight="1">
      <c r="A20" s="5" t="inlineStr">
        <is>
          <t xml:space="preserve">  Should have: Muy importante, pero no critico para primera version</t>
        </is>
      </c>
    </row>
    <row r="21" ht="18" customHeight="1">
      <c r="A21" s="5" t="inlineStr">
        <is>
          <t xml:space="preserve">  Could have: Deseable si hay tiempo/presupuesto</t>
        </is>
      </c>
    </row>
    <row r="22" ht="18" customHeight="1">
      <c r="A22" s="5" t="inlineStr">
        <is>
          <t xml:space="preserve">  Won't have: Fuera de alcance en esta version</t>
        </is>
      </c>
    </row>
    <row r="23" ht="18" customHeight="1">
      <c r="A23" s="6" t="inlineStr"/>
    </row>
    <row r="24" ht="24" customHeight="1">
      <c r="A24" s="4" t="inlineStr">
        <is>
          <t>Errores comunes a evitar:</t>
        </is>
      </c>
    </row>
    <row r="25" ht="18" customHeight="1">
      <c r="A25" s="8" t="inlineStr">
        <is>
          <t>X Requerimientos ambiguos: 'El sistema debe ser rapido' -&gt; Correcto: 'El sistema debe responder en menos de 3 segundos'</t>
        </is>
      </c>
    </row>
    <row r="26" ht="18" customHeight="1">
      <c r="A26" s="8" t="inlineStr">
        <is>
          <t>X Soluciones disfrazadas: 'Debe usar MySQL' -&gt; Correcto: 'Debe almacenar datos de forma persistente'</t>
        </is>
      </c>
    </row>
    <row r="27" ht="18" customHeight="1">
      <c r="A27" s="8" t="inlineStr">
        <is>
          <t>X Requerimientos Must-have sin criterio de aceptacion -&gt; Siempre definir como validar</t>
        </is>
      </c>
    </row>
    <row r="28" ht="18" customHeight="1">
      <c r="A28" s="8" t="inlineStr">
        <is>
          <t>X No indicar fuente -&gt; Rastrear quien lo pidio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4"/>
  <sheetViews>
    <sheetView workbookViewId="0">
      <pane ySplit="1" topLeftCell="A2" activePane="bottomLeft" state="frozen"/>
      <selection pane="bottomLeft" activeCell="A1" sqref="A1"/>
    </sheetView>
  </sheetViews>
  <sheetFormatPr baseColWidth="8" defaultRowHeight="15"/>
  <cols>
    <col width="9" customWidth="1" min="1" max="1"/>
    <col width="55" customWidth="1" min="2" max="2"/>
    <col width="55" customWidth="1" min="3" max="3"/>
    <col width="13" customWidth="1" min="4" max="4"/>
    <col width="28" customWidth="1" min="5" max="5"/>
    <col width="22" customWidth="1" min="6" max="6"/>
    <col width="9" customWidth="1" min="7" max="7"/>
    <col width="45" customWidth="1" min="8" max="8"/>
  </cols>
  <sheetData>
    <row r="1" ht="22" customHeight="1">
      <c r="A1" s="9" t="inlineStr">
        <is>
          <t>ID</t>
        </is>
      </c>
      <c r="B1" s="9" t="inlineStr">
        <is>
          <t>Descripcion</t>
        </is>
      </c>
      <c r="C1" s="9" t="inlineStr">
        <is>
          <t>Criterio de Aceptacion</t>
        </is>
      </c>
      <c r="D1" s="9" t="inlineStr">
        <is>
          <t>Prioridad</t>
        </is>
      </c>
      <c r="E1" s="9" t="inlineStr">
        <is>
          <t>Fuente</t>
        </is>
      </c>
      <c r="F1" s="9" t="inlineStr">
        <is>
          <t>Estado</t>
        </is>
      </c>
      <c r="G1" s="9" t="inlineStr">
        <is>
          <t>Version</t>
        </is>
      </c>
      <c r="H1" s="9" t="inlineStr">
        <is>
          <t>Notas</t>
        </is>
      </c>
    </row>
    <row r="2" ht="60" customHeight="1">
      <c r="A2" s="10" t="inlineStr">
        <is>
          <t>RF-01</t>
        </is>
      </c>
      <c r="B2" s="11" t="inlineStr">
        <is>
          <t>El sistema debe permitir registrar nuevos proyectos de obra con nombre, fecha de inicio, fecha estimada de entrega y presupuesto total aprobado.</t>
        </is>
      </c>
      <c r="C2" s="11" t="inlineStr">
        <is>
          <t>Se crea un proyecto con todos los campos obligatorios. El sistema rechaza el registro si el presupuesto es cero o negativo. El proyecto queda visible en el listado de proyectos activos.</t>
        </is>
      </c>
      <c r="D2" s="12" t="inlineStr">
        <is>
          <t>Must have</t>
        </is>
      </c>
      <c r="E2" s="11" t="inlineStr">
        <is>
          <t>Ing. Carlos Macias (Administrador) - Entrevista 1</t>
        </is>
      </c>
      <c r="F2" s="12" t="inlineStr">
        <is>
          <t>Validado internamente</t>
        </is>
      </c>
      <c r="G2" s="12" t="inlineStr">
        <is>
          <t>1.0</t>
        </is>
      </c>
      <c r="H2" s="11" t="inlineStr">
        <is>
          <t>Aplica a obra publica y privada. En obra publica el presupuesto es fijo e inamovible.</t>
        </is>
      </c>
    </row>
    <row r="3" ht="60" customHeight="1">
      <c r="A3" s="10" t="inlineStr">
        <is>
          <t>RF-02</t>
        </is>
      </c>
      <c r="B3" s="11" t="inlineStr">
        <is>
          <t>El sistema debe permitir registrar compras de material vinculadas a un proyecto especifico, incluyendo fecha, proveedor, materiales comprados, cantidades y precio real pagado por unidad.</t>
        </is>
      </c>
      <c r="C3" s="11" t="inlineStr">
        <is>
          <t>Al registrar una compra, el sistema la asocia automaticamente al proyecto seleccionado. El gasto acumulado del proyecto se actualiza inmediatamente. No se puede registrar una compra sin seleccionar proyecto.</t>
        </is>
      </c>
      <c r="D3" s="12" t="inlineStr">
        <is>
          <t>Must have</t>
        </is>
      </c>
      <c r="E3" s="11" t="inlineStr">
        <is>
          <t>Ing. Carlos Macias - Entrevista 1</t>
        </is>
      </c>
      <c r="F3" s="12" t="inlineStr">
        <is>
          <t>Validado internamente</t>
        </is>
      </c>
      <c r="G3" s="12" t="inlineStr">
        <is>
          <t>1.0</t>
        </is>
      </c>
      <c r="H3" s="11" t="inlineStr">
        <is>
          <t>Actualmente las notas de compra se vacian manualmente en Excel. El sistema reemplaza ese proceso.</t>
        </is>
      </c>
    </row>
    <row r="4" ht="60" customHeight="1">
      <c r="A4" s="10" t="inlineStr">
        <is>
          <t>RF-03</t>
        </is>
      </c>
      <c r="B4" s="11" t="inlineStr">
        <is>
          <t>El sistema debe mantener un catalogo de materiales (cemento, grava, arena, agua, acero, etc.) con stock actual que se actualiza automaticamente al registrar compras y salidas.</t>
        </is>
      </c>
      <c r="C4" s="11" t="inlineStr">
        <is>
          <t>Despues de registrar una compra de 100 bultos de cemento, el stock del producto aumenta en 100. Despues de registrar una salida de 30 bultos, el stock disminuye a 70. El sistema muestra el stock en tiempo real.</t>
        </is>
      </c>
      <c r="D4" s="12" t="inlineStr">
        <is>
          <t>Must have</t>
        </is>
      </c>
      <c r="E4" s="11" t="inlineStr">
        <is>
          <t>Ing. Carlos Macias - Entrevista 1</t>
        </is>
      </c>
      <c r="F4" s="12" t="inlineStr">
        <is>
          <t>Validado internamente</t>
        </is>
      </c>
      <c r="G4" s="12" t="inlineStr">
        <is>
          <t>1.0</t>
        </is>
      </c>
      <c r="H4" s="11" t="inlineStr">
        <is>
          <t>El control de inventario fue identificado como el proceso mas descuidado. El stock nunca puede ser negativo.</t>
        </is>
      </c>
    </row>
    <row r="5" ht="60" customHeight="1">
      <c r="A5" s="10" t="inlineStr">
        <is>
          <t>RF-04</t>
        </is>
      </c>
      <c r="B5" s="11" t="inlineStr">
        <is>
          <t>El sistema debe registrar cada salida de material de bodega hacia la obra, indicando fecha, responsable, tipo de salida (consumo, merma, robo, prestamo) y proyecto al que corresponde.</t>
        </is>
      </c>
      <c r="C5" s="11" t="inlineStr">
        <is>
          <t>Se registra una salida con todos los campos. El stock del producto disminuye automaticamente. El reporte de salidas por proyecto muestra el historico completo con tipo de salida.</t>
        </is>
      </c>
      <c r="D5" s="12" t="inlineStr">
        <is>
          <t>Must have</t>
        </is>
      </c>
      <c r="E5" s="11" t="inlineStr">
        <is>
          <t>Ing. Carlos Macias - Entrevista 1</t>
        </is>
      </c>
      <c r="F5" s="12" t="inlineStr">
        <is>
          <t>Validado internamente</t>
        </is>
      </c>
      <c r="G5" s="12" t="inlineStr">
        <is>
          <t>1.0</t>
        </is>
      </c>
      <c r="H5" s="11" t="inlineStr">
        <is>
          <t>CRITICO: actualmente las salidas NO se registran en ningun lado. El velador cuida el material sin control formal.</t>
        </is>
      </c>
    </row>
    <row r="6" ht="60" customHeight="1">
      <c r="A6" s="10" t="inlineStr">
        <is>
          <t>RF-05</t>
        </is>
      </c>
      <c r="B6" s="11" t="inlineStr">
        <is>
          <t>El sistema debe permitir registrar cotizaciones de precios de materiales con distintos proveedores, guardando fecha, material, proveedor y precio cotizado.</t>
        </is>
      </c>
      <c r="C6" s="11" t="inlineStr">
        <is>
          <t>Se puede registrar multiples cotizaciones del mismo material con diferentes proveedores. El historial de cotizaciones es consultable por material o por proveedor.</t>
        </is>
      </c>
      <c r="D6" s="12" t="inlineStr">
        <is>
          <t>Must have</t>
        </is>
      </c>
      <c r="E6" s="11" t="inlineStr">
        <is>
          <t>Ing. Carlos Macias - Entrevista 1</t>
        </is>
      </c>
      <c r="F6" s="12" t="inlineStr">
        <is>
          <t>Validado internamente</t>
        </is>
      </c>
      <c r="G6" s="12" t="inlineStr">
        <is>
          <t>1.0</t>
        </is>
      </c>
      <c r="H6" s="11" t="inlineStr">
        <is>
          <t>El ingeniero cotiza en Home Depot, Cruz Azul, Apasco. Actualmente no hay registro digital de estas cotizaciones.</t>
        </is>
      </c>
    </row>
    <row r="7" ht="60" customHeight="1">
      <c r="A7" s="10" t="inlineStr">
        <is>
          <t>RF-06</t>
        </is>
      </c>
      <c r="B7" s="11" t="inlineStr">
        <is>
          <t>El sistema debe comparar el precio cotizado en la licitacion versus el precio real de compra y mostrar el porcentaje de desviacion, con alerta visual cuando la desviacion supere el 5%.</t>
        </is>
      </c>
      <c r="C7" s="11" t="inlineStr">
        <is>
          <t>Para cada material, el sistema muestra: precio cotizado, precio real mas reciente, diferencia en pesos y porcentaje de desviacion. Si la desviacion supera el 5%, el sistema muestra indicador rojo.</t>
        </is>
      </c>
      <c r="D7" s="12" t="inlineStr">
        <is>
          <t>Must have</t>
        </is>
      </c>
      <c r="E7" s="11" t="inlineStr">
        <is>
          <t>Ing. Carlos Macias - Entrevista 1</t>
        </is>
      </c>
      <c r="F7" s="12" t="inlineStr">
        <is>
          <t>Validado internamente</t>
        </is>
      </c>
      <c r="G7" s="12" t="inlineStr">
        <is>
          <t>1.0</t>
        </is>
      </c>
      <c r="H7" s="11" t="inlineStr">
        <is>
          <t>KPI prioritario mencionado por el ingeniero. Ejemplo: cotizo cemento a $260, ahora cuesta $350, desviacion del 34.6%.</t>
        </is>
      </c>
    </row>
    <row r="8" ht="60" customHeight="1">
      <c r="A8" s="10" t="inlineStr">
        <is>
          <t>RF-07</t>
        </is>
      </c>
      <c r="B8" s="11" t="inlineStr">
        <is>
          <t>El sistema debe mostrar en cualquier momento la rentabilidad de cada proyecto: presupuesto aprobado, gasto acumulado, saldo restante y porcentaje del presupuesto utilizado.</t>
        </is>
      </c>
      <c r="C8" s="11" t="inlineStr">
        <is>
          <t>El dashboard de proyecto muestra los 4 indicadores en tiempo real. Al agregar una compra nueva, los valores se actualizan automaticamente. El saldo restante nunca puede mostrarse incorrecto.</t>
        </is>
      </c>
      <c r="D8" s="12" t="inlineStr">
        <is>
          <t>Must have</t>
        </is>
      </c>
      <c r="E8" s="11" t="inlineStr">
        <is>
          <t>Ing. Carlos Macias - Entrevista 1</t>
        </is>
      </c>
      <c r="F8" s="12" t="inlineStr">
        <is>
          <t>Validado internamente</t>
        </is>
      </c>
      <c r="G8" s="12" t="inlineStr">
        <is>
          <t>1.0</t>
        </is>
      </c>
      <c r="H8" s="11" t="inlineStr">
        <is>
          <t>Actualmente la rentabilidad solo se calcula al finalizar la obra. Esto impide decisiones correctivas a tiempo.</t>
        </is>
      </c>
    </row>
    <row r="9" ht="60" customHeight="1">
      <c r="A9" s="10" t="inlineStr">
        <is>
          <t>RF-08</t>
        </is>
      </c>
      <c r="B9" s="11" t="inlineStr">
        <is>
          <t>El sistema debe controlar el acceso mediante roles diferenciados: Administrador (acceso total), Encargado de obra (captura y consulta parcial), Solo lectura (solo visualizacion).</t>
        </is>
      </c>
      <c r="C9" s="11" t="inlineStr">
        <is>
          <t>Un usuario con rol Encargado puede registrar salidas pero no puede ver el presupuesto total ni las cotizaciones. Un usuario con rol Solo lectura no puede modificar ningun dato. El Administrador accede a todo.</t>
        </is>
      </c>
      <c r="D9" s="12" t="inlineStr">
        <is>
          <t>Must have</t>
        </is>
      </c>
      <c r="E9" s="11" t="inlineStr">
        <is>
          <t>Ing. Carlos Macias - Entrevista 1</t>
        </is>
      </c>
      <c r="F9" s="12" t="inlineStr">
        <is>
          <t>Validado internamente</t>
        </is>
      </c>
      <c r="G9" s="12" t="inlineStr">
        <is>
          <t>1.0</t>
        </is>
      </c>
      <c r="H9" s="11" t="inlineStr">
        <is>
          <t>El ingeniero fue explicitico: la informacion de cotizaciones es su ventaja competitiva. Nadie mas debe verla completa.</t>
        </is>
      </c>
    </row>
    <row r="10" ht="60" customHeight="1">
      <c r="A10" s="13" t="inlineStr">
        <is>
          <t>RF-09</t>
        </is>
      </c>
      <c r="B10" s="14" t="inlineStr">
        <is>
          <t>El sistema debe permitir actualizar el porcentaje de avance fisico de cada proyecto y mantener un historial de avance con fecha de cada actualizacion.</t>
        </is>
      </c>
      <c r="C10" s="14" t="inlineStr">
        <is>
          <t>Se puede registrar un nuevo porcentaje de avance. El historial muestra fecha y valor de cada actualizacion. El porcentaje debe estar entre 0 y 100; el sistema rechaza valores fuera de rango.</t>
        </is>
      </c>
      <c r="D10" s="15" t="inlineStr">
        <is>
          <t>Should have</t>
        </is>
      </c>
      <c r="E10" s="14" t="inlineStr">
        <is>
          <t>Ing. Carlos Macias - Entrevista 1</t>
        </is>
      </c>
      <c r="F10" s="15" t="inlineStr">
        <is>
          <t>Validado internamente</t>
        </is>
      </c>
      <c r="G10" s="15" t="inlineStr">
        <is>
          <t>1.0</t>
        </is>
      </c>
      <c r="H10" s="14" t="inlineStr">
        <is>
          <t>Actualmente el avance se lleva en un Excel separado sin vinculo con el control de gastos.</t>
        </is>
      </c>
    </row>
    <row r="11" ht="60" customHeight="1">
      <c r="A11" s="13" t="inlineStr">
        <is>
          <t>RF-10</t>
        </is>
      </c>
      <c r="B11" s="14" t="inlineStr">
        <is>
          <t>El sistema debe permitir gestionar un catalogo de proveedores con nombre, empresa, telefono y persona de contacto.</t>
        </is>
      </c>
      <c r="C11" s="14" t="inlineStr">
        <is>
          <t>Se pueden agregar, editar y consultar proveedores. Al registrar una cotizacion o compra, el proveedor se selecciona del catalogo existente (no se escribe texto libre).</t>
        </is>
      </c>
      <c r="D11" s="15" t="inlineStr">
        <is>
          <t>Should have</t>
        </is>
      </c>
      <c r="E11" s="14" t="inlineStr">
        <is>
          <t>Asistente administrativo - Entrevista 1</t>
        </is>
      </c>
      <c r="F11" s="15" t="inlineStr">
        <is>
          <t>Validado internamente</t>
        </is>
      </c>
      <c r="G11" s="15" t="inlineStr">
        <is>
          <t>1.0</t>
        </is>
      </c>
      <c r="H11" s="14" t="inlineStr">
        <is>
          <t>Actualmente los contactos de proveedores estan solo en el celular del ingeniero. No existe un catalogo formal.</t>
        </is>
      </c>
    </row>
    <row r="12" ht="60" customHeight="1">
      <c r="A12" s="13" t="inlineStr">
        <is>
          <t>RF-11</t>
        </is>
      </c>
      <c r="B12" s="14" t="inlineStr">
        <is>
          <t>El sistema debe generar un reporte de movimientos de material por proyecto que muestre entradas (compras), salidas y saldo en inventario para cada material.</t>
        </is>
      </c>
      <c r="C12" s="14" t="inlineStr">
        <is>
          <t>El reporte filtra por proyecto y muestra todos los movimientos de cada material con fecha. El saldo en inventario es consistente: suma de entradas menos suma de salidas.</t>
        </is>
      </c>
      <c r="D12" s="15" t="inlineStr">
        <is>
          <t>Should have</t>
        </is>
      </c>
      <c r="E12" s="14" t="inlineStr">
        <is>
          <t>Ing. Carlos Macias - Entrevista 1</t>
        </is>
      </c>
      <c r="F12" s="15" t="inlineStr">
        <is>
          <t>Validado internamente</t>
        </is>
      </c>
      <c r="G12" s="15" t="inlineStr">
        <is>
          <t>1.0</t>
        </is>
      </c>
      <c r="H12" s="14" t="inlineStr">
        <is>
          <t>Permite identificar mermas: si se compraron 100 bultos y se usaron 90, pero el saldo es 5, hay 5 perdidos.</t>
        </is>
      </c>
    </row>
    <row r="13" ht="60" customHeight="1">
      <c r="A13" s="16" t="inlineStr">
        <is>
          <t>RF-12</t>
        </is>
      </c>
      <c r="B13" s="17" t="inlineStr">
        <is>
          <t>El sistema debe permitir registrar pagos a trabajadores y subcontratistas por proyecto, diferenciados de las compras de material.</t>
        </is>
      </c>
      <c r="C13" s="17" t="inlineStr">
        <is>
          <t>Se puede registrar un pago con: fecha, beneficiario, concepto, monto y proyecto. Los pagos aparecen como gasto del proyecto pero en categoria separada de materiales.</t>
        </is>
      </c>
      <c r="D13" s="18" t="inlineStr">
        <is>
          <t>Could have</t>
        </is>
      </c>
      <c r="E13" s="17" t="inlineStr">
        <is>
          <t>Ing. Carlos Macias - Entrevista 1</t>
        </is>
      </c>
      <c r="F13" s="18" t="inlineStr">
        <is>
          <t>Propuesto</t>
        </is>
      </c>
      <c r="G13" s="18" t="inlineStr">
        <is>
          <t>1.0</t>
        </is>
      </c>
      <c r="H13" s="17" t="inlineStr">
        <is>
          <t>Los pagos son semanales y vinculados al avance. Actualmente se mezclan con compras en el mismo Excel. Recomendado para v2.</t>
        </is>
      </c>
    </row>
    <row r="14" ht="60" customHeight="1">
      <c r="A14" s="16" t="inlineStr">
        <is>
          <t>RF-13</t>
        </is>
      </c>
      <c r="B14" s="17" t="inlineStr">
        <is>
          <t>El sistema debe permitir adjuntar o referenciar los documentos de contrato de cada proyecto (numero de licitacion, monto contratado, cliente).</t>
        </is>
      </c>
      <c r="C14" s="17" t="inlineStr">
        <is>
          <t>Se puede registrar el numero de contrato y licitacion de cada proyecto. El campo es consultable y sirve como referencia para auditorias.</t>
        </is>
      </c>
      <c r="D14" s="18" t="inlineStr">
        <is>
          <t>Could have</t>
        </is>
      </c>
      <c r="E14" s="17" t="inlineStr">
        <is>
          <t>Ing. Carlos Macias - Entrevista 1</t>
        </is>
      </c>
      <c r="F14" s="18" t="inlineStr">
        <is>
          <t>Propuesto</t>
        </is>
      </c>
      <c r="G14" s="18" t="inlineStr">
        <is>
          <t>1.0</t>
        </is>
      </c>
      <c r="H14" s="17" t="inlineStr">
        <is>
          <t>Protocem ha manejado contratos como INAGUA-2016-E08, FISM-002-036/2013, etc. Util para trazabilidad.</t>
        </is>
      </c>
    </row>
  </sheetData>
  <autoFilter ref="A1:H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9" customWidth="1" min="1" max="1"/>
    <col width="16" customWidth="1" min="2" max="2"/>
    <col width="50" customWidth="1" min="3" max="3"/>
    <col width="50" customWidth="1" min="4" max="4"/>
    <col width="13" customWidth="1" min="5" max="5"/>
    <col width="28" customWidth="1" min="6" max="6"/>
    <col width="22" customWidth="1" min="7" max="7"/>
    <col width="9" customWidth="1" min="8" max="8"/>
    <col width="40" customWidth="1" min="9" max="9"/>
  </cols>
  <sheetData>
    <row r="1" ht="22" customHeight="1">
      <c r="A1" s="9" t="inlineStr">
        <is>
          <t>ID</t>
        </is>
      </c>
      <c r="B1" s="9" t="inlineStr">
        <is>
          <t>Categoria</t>
        </is>
      </c>
      <c r="C1" s="9" t="inlineStr">
        <is>
          <t>Descripcion</t>
        </is>
      </c>
      <c r="D1" s="9" t="inlineStr">
        <is>
          <t>Criterio de Aceptacion</t>
        </is>
      </c>
      <c r="E1" s="9" t="inlineStr">
        <is>
          <t>Prioridad</t>
        </is>
      </c>
      <c r="F1" s="9" t="inlineStr">
        <is>
          <t>Fuente</t>
        </is>
      </c>
      <c r="G1" s="9" t="inlineStr">
        <is>
          <t>Estado</t>
        </is>
      </c>
      <c r="H1" s="9" t="inlineStr">
        <is>
          <t>Version</t>
        </is>
      </c>
      <c r="I1" s="9" t="inlineStr">
        <is>
          <t>Notas</t>
        </is>
      </c>
    </row>
    <row r="2" ht="60" customHeight="1">
      <c r="A2" s="10" t="inlineStr">
        <is>
          <t>RNF-01</t>
        </is>
      </c>
      <c r="B2" s="12" t="inlineStr">
        <is>
          <t>Seguridad</t>
        </is>
      </c>
      <c r="C2" s="11" t="inlineStr">
        <is>
          <t>El sistema debe requerir autenticacion con correo y contrasena para acceder. Las contrasenas deben almacenarse cifradas (hash) y nunca en texto plano.</t>
        </is>
      </c>
      <c r="D2" s="11" t="inlineStr">
        <is>
          <t>Un intento de acceso sin credenciales validas es rechazado. La base de datos no contiene contrasenas en texto plano. Despues de 5 intentos fallidos, la cuenta se bloquea temporalmente.</t>
        </is>
      </c>
      <c r="E2" s="12" t="inlineStr">
        <is>
          <t>Must have</t>
        </is>
      </c>
      <c r="F2" s="11" t="inlineStr">
        <is>
          <t>Ing. Carlos Macias - Entrevista 1</t>
        </is>
      </c>
      <c r="G2" s="12" t="inlineStr">
        <is>
          <t>Validado internamente</t>
        </is>
      </c>
      <c r="H2" s="12" t="inlineStr">
        <is>
          <t>1.0</t>
        </is>
      </c>
      <c r="I2" s="11" t="inlineStr">
        <is>
          <t>La informacion del sistema es competitivamente sensible. El ingeniero enfatizo que nadie mas puede acceder.</t>
        </is>
      </c>
    </row>
    <row r="3" ht="60" customHeight="1">
      <c r="A3" s="10" t="inlineStr">
        <is>
          <t>RNF-02</t>
        </is>
      </c>
      <c r="B3" s="12" t="inlineStr">
        <is>
          <t>Seguridad</t>
        </is>
      </c>
      <c r="C3" s="11" t="inlineStr">
        <is>
          <t>El sistema debe implementar control de acceso basado en roles (RBAC). Cada usuario solo puede ver y modificar la informacion que corresponde a su rol.</t>
        </is>
      </c>
      <c r="D3" s="11" t="inlineStr">
        <is>
          <t>Un usuario con rol Encargado que intente acceder a la seccion de cotizaciones o presupuestos recibe un mensaje de acceso denegado. Los registros de auditor muestran quien accedio a que.</t>
        </is>
      </c>
      <c r="E3" s="12" t="inlineStr">
        <is>
          <t>Must have</t>
        </is>
      </c>
      <c r="F3" s="11" t="inlineStr">
        <is>
          <t>Ing. Carlos Macias - Entrevista 1</t>
        </is>
      </c>
      <c r="G3" s="12" t="inlineStr">
        <is>
          <t>Validado internamente</t>
        </is>
      </c>
      <c r="H3" s="12" t="inlineStr">
        <is>
          <t>1.0</t>
        </is>
      </c>
      <c r="I3" s="11" t="inlineStr">
        <is>
          <t>Roles definidos: Administrador, Encargado de obra, Solo lectura.</t>
        </is>
      </c>
    </row>
    <row r="4" ht="60" customHeight="1">
      <c r="A4" s="10" t="inlineStr">
        <is>
          <t>RNF-03</t>
        </is>
      </c>
      <c r="B4" s="12" t="inlineStr">
        <is>
          <t>Disponibilidad</t>
        </is>
      </c>
      <c r="C4" s="11" t="inlineStr">
        <is>
          <t>El sistema debe ser accesible desde navegador web en computadora de escritorio y desde dispositivos moviles (smartphone o tablet) sin necesidad de instalar aplicacion.</t>
        </is>
      </c>
      <c r="D4" s="11" t="inlineStr">
        <is>
          <t>El sistema funciona correctamente en Chrome/Edge en PC y en Chrome/Safari en Android/iOS. Los formularios de captura son usables en pantalla de 5 pulgadas.</t>
        </is>
      </c>
      <c r="E4" s="12" t="inlineStr">
        <is>
          <t>Must have</t>
        </is>
      </c>
      <c r="F4" s="11" t="inlineStr">
        <is>
          <t>Ing. Carlos Macias - Entrevista 1</t>
        </is>
      </c>
      <c r="G4" s="12" t="inlineStr">
        <is>
          <t>Validado internamente</t>
        </is>
      </c>
      <c r="H4" s="12" t="inlineStr">
        <is>
          <t>1.0</t>
        </is>
      </c>
      <c r="I4" s="11" t="inlineStr">
        <is>
          <t>El ingeniero supervisa obra en campo y revisa avances desde casa. Necesita acceso desde cualquier dispositivo.</t>
        </is>
      </c>
    </row>
    <row r="5" ht="60" customHeight="1">
      <c r="A5" s="10" t="inlineStr">
        <is>
          <t>RNF-04</t>
        </is>
      </c>
      <c r="B5" s="12" t="inlineStr">
        <is>
          <t>Confiabilidad</t>
        </is>
      </c>
      <c r="C5" s="11" t="inlineStr">
        <is>
          <t>El sistema debe realizar respaldos automaticos de la base de datos al menos una vez al dia, con posibilidad de restauracion en caso de fallo.</t>
        </is>
      </c>
      <c r="D5" s="11" t="inlineStr">
        <is>
          <t>El sistema genera un backup diario. En caso de fallo, se puede restaurar la informacion del dia anterior con un proceso documentado de menos de 30 minutos.</t>
        </is>
      </c>
      <c r="E5" s="12" t="inlineStr">
        <is>
          <t>Must have</t>
        </is>
      </c>
      <c r="F5" s="11" t="inlineStr">
        <is>
          <t>Ing. Carlos Macias - Entrevista 1</t>
        </is>
      </c>
      <c r="G5" s="12" t="inlineStr">
        <is>
          <t>Validado internamente</t>
        </is>
      </c>
      <c r="H5" s="12" t="inlineStr">
        <is>
          <t>1.0</t>
        </is>
      </c>
      <c r="I5" s="11" t="inlineStr">
        <is>
          <t>El ingeniero indico que la informacion es muy sensible y requiere respaldo. Obras de hasta $127M dependen de estos datos.</t>
        </is>
      </c>
    </row>
    <row r="6" ht="60" customHeight="1">
      <c r="A6" s="13" t="inlineStr">
        <is>
          <t>RNF-05</t>
        </is>
      </c>
      <c r="B6" s="15" t="inlineStr">
        <is>
          <t>Rendimiento</t>
        </is>
      </c>
      <c r="C6" s="14" t="inlineStr">
        <is>
          <t>El sistema debe responder a las consultas de uso cotidiano (gasto acumulado, stock actual, desviacion de precios) en menos de 3 segundos, incluso con datos de 5 o mas proyectos activos.</t>
        </is>
      </c>
      <c r="D6" s="14" t="inlineStr">
        <is>
          <t>Se ejecutan 20 consultas simultaneas de reportes de rentabilidad y ninguna tarda mas de 3 segundos. La prueba se realiza con al menos 3 proyectos con 100+ compras registradas cada uno.</t>
        </is>
      </c>
      <c r="E6" s="15" t="inlineStr">
        <is>
          <t>Should have</t>
        </is>
      </c>
      <c r="F6" s="14" t="inlineStr">
        <is>
          <t>Equipo de desarrollo</t>
        </is>
      </c>
      <c r="G6" s="15" t="inlineStr">
        <is>
          <t>Validado internamente</t>
        </is>
      </c>
      <c r="H6" s="15" t="inlineStr">
        <is>
          <t>1.0</t>
        </is>
      </c>
      <c r="I6" s="14" t="inlineStr">
        <is>
          <t>Protocem maneja proyectos de hasta 390 dias con muchas compras acumuladas. El rendimiento es critico para el uso diario.</t>
        </is>
      </c>
    </row>
    <row r="7" ht="60" customHeight="1">
      <c r="A7" s="10" t="inlineStr">
        <is>
          <t>RNF-06</t>
        </is>
      </c>
      <c r="B7" s="12" t="inlineStr">
        <is>
          <t>Integridad</t>
        </is>
      </c>
      <c r="C7" s="11" t="inlineStr">
        <is>
          <t>El sistema no debe permitir eliminar un proyecto que tenga compras, salidas o cotizaciones registradas. La informacion historica debe mantenerse integra.</t>
        </is>
      </c>
      <c r="D7" s="11" t="inlineStr">
        <is>
          <t>Al intentar eliminar un proyecto con compras asociadas, el sistema muestra un mensaje de error explicativo y no realiza la eliminacion. Solo es posible archivar proyectos finalizados.</t>
        </is>
      </c>
      <c r="E7" s="12" t="inlineStr">
        <is>
          <t>Must have</t>
        </is>
      </c>
      <c r="F7" s="11" t="inlineStr">
        <is>
          <t>Equipo de desarrollo</t>
        </is>
      </c>
      <c r="G7" s="12" t="inlineStr">
        <is>
          <t>Validado internamente</t>
        </is>
      </c>
      <c r="H7" s="12" t="inlineStr">
        <is>
          <t>1.0</t>
        </is>
      </c>
      <c r="I7" s="11" t="inlineStr">
        <is>
          <t>Relacionado con ON DELETE RESTRICT en el modelo relacional. Critico para auditoria de contratos publicos.</t>
        </is>
      </c>
    </row>
    <row r="8" ht="60" customHeight="1">
      <c r="A8" s="13" t="inlineStr">
        <is>
          <t>RNF-07</t>
        </is>
      </c>
      <c r="B8" s="15" t="inlineStr">
        <is>
          <t>Usabilidad</t>
        </is>
      </c>
      <c r="C8" s="14" t="inlineStr">
        <is>
          <t>Los formularios de captura de material y salidas deben poder completarse en menos de 2 minutos por un usuario sin conocimientos tecnicos avanzados.</t>
        </is>
      </c>
      <c r="D8" s="14" t="inlineStr">
        <is>
          <t>Un usuario con rol Encargado, tras 15 minutos de capacitacion, puede registrar una salida de material completa en menos de 2 minutos sin asistencia.</t>
        </is>
      </c>
      <c r="E8" s="15" t="inlineStr">
        <is>
          <t>Should have</t>
        </is>
      </c>
      <c r="F8" s="14" t="inlineStr">
        <is>
          <t>Encargado de obra / Velador - Entrevista 1</t>
        </is>
      </c>
      <c r="G8" s="15" t="inlineStr">
        <is>
          <t>Propuesto</t>
        </is>
      </c>
      <c r="H8" s="15" t="inlineStr">
        <is>
          <t>1.0</t>
        </is>
      </c>
      <c r="I8" s="14" t="inlineStr">
        <is>
          <t>El velador y los encargados de obra no son tecnicos. Si el sistema es complicado, no lo usaran.</t>
        </is>
      </c>
    </row>
    <row r="9" ht="60" customHeight="1">
      <c r="A9" s="10" t="inlineStr">
        <is>
          <t>RNF-08</t>
        </is>
      </c>
      <c r="B9" s="12" t="inlineStr">
        <is>
          <t>Privacidad</t>
        </is>
      </c>
      <c r="C9" s="11" t="inlineStr">
        <is>
          <t>La informacion de cotizaciones y presupuestos no debe ser accesible desde fuera del sistema ni transmitirse sin cifrado. La conexion debe usar HTTPS.</t>
        </is>
      </c>
      <c r="D9" s="11" t="inlineStr">
        <is>
          <t>Toda comunicacion entre cliente y servidor usa HTTPS. Un intento de acceso directo a la base de datos desde fuera del servidor es bloqueado. Las cotizaciones no aparecen en resultados de busqueda web.</t>
        </is>
      </c>
      <c r="E9" s="12" t="inlineStr">
        <is>
          <t>Must have</t>
        </is>
      </c>
      <c r="F9" s="11" t="inlineStr">
        <is>
          <t>Ing. Carlos Macias - Entrevista 1</t>
        </is>
      </c>
      <c r="G9" s="12" t="inlineStr">
        <is>
          <t>Validado internamente</t>
        </is>
      </c>
      <c r="H9" s="12" t="inlineStr">
        <is>
          <t>1.0</t>
        </is>
      </c>
      <c r="I9" s="11" t="inlineStr">
        <is>
          <t>El ingeniero menciono explicitamente el riesgo de que competidores accedan a su forma de cotizar.</t>
        </is>
      </c>
    </row>
    <row r="10" ht="60" customHeight="1">
      <c r="A10" s="13" t="inlineStr">
        <is>
          <t>RNF-09</t>
        </is>
      </c>
      <c r="B10" s="15" t="inlineStr">
        <is>
          <t>Escalabilidad</t>
        </is>
      </c>
      <c r="C10" s="14" t="inlineStr">
        <is>
          <t>El sistema debe soportar el registro de al menos 20 proyectos simultaneos con sus compras, salidas y cotizaciones sin degradacion de rendimiento.</t>
        </is>
      </c>
      <c r="D10" s="14" t="inlineStr">
        <is>
          <t>Con 20 proyectos activos y 500+ movimientos por proyecto, el tiempo de respuesta no supera los 3 segundos en consultas de reporte.</t>
        </is>
      </c>
      <c r="E10" s="15" t="inlineStr">
        <is>
          <t>Should have</t>
        </is>
      </c>
      <c r="F10" s="14" t="inlineStr">
        <is>
          <t>Equipo de desarrollo</t>
        </is>
      </c>
      <c r="G10" s="15" t="inlineStr">
        <is>
          <t>Propuesto</t>
        </is>
      </c>
      <c r="H10" s="15" t="inlineStr">
        <is>
          <t>1.0</t>
        </is>
      </c>
      <c r="I10" s="14" t="inlineStr">
        <is>
          <t>Protocem ha manejado contratos de hasta $127M (Fujita) con cientos de compras. El volumen puede crecer.</t>
        </is>
      </c>
    </row>
    <row r="11" ht="60" customHeight="1">
      <c r="A11" s="16" t="inlineStr">
        <is>
          <t>RNF-10</t>
        </is>
      </c>
      <c r="B11" s="18" t="inlineStr">
        <is>
          <t>Mantenibilidad</t>
        </is>
      </c>
      <c r="C11" s="17" t="inlineStr">
        <is>
          <t>El codigo y la estructura de la base de datos deben estar documentados para permitir modificaciones futuras sin necesidad de redisenar el sistema.</t>
        </is>
      </c>
      <c r="D11" s="17" t="inlineStr">
        <is>
          <t>Existe un documento tecnico con el diagrama ER, el esquema SQL comentado y la descripcion de cada tabla. Un desarrollador nuevo puede entender la estructura en menos de 2 horas.</t>
        </is>
      </c>
      <c r="E11" s="18" t="inlineStr">
        <is>
          <t>Could have</t>
        </is>
      </c>
      <c r="F11" s="17" t="inlineStr">
        <is>
          <t>Equipo de desarrollo</t>
        </is>
      </c>
      <c r="G11" s="18" t="inlineStr">
        <is>
          <t>Propuesto</t>
        </is>
      </c>
      <c r="H11" s="18" t="inlineStr">
        <is>
          <t>1.0</t>
        </is>
      </c>
      <c r="I11" s="17" t="inlineStr">
        <is>
          <t>Protocem puede necesitar agregar funcionalidades como pagos a contratistas (RF-12) en versiones futuras.</t>
        </is>
      </c>
    </row>
  </sheetData>
  <autoFilter ref="A1:I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cols>
    <col width="42" customWidth="1" min="1" max="1"/>
    <col width="18" customWidth="1" min="2" max="2"/>
  </cols>
  <sheetData>
    <row r="1" ht="28" customHeight="1">
      <c r="A1" s="19" t="inlineStr">
        <is>
          <t>RESUMEN DE REQUERIMIENTOS - PROTOCEM</t>
        </is>
      </c>
      <c r="B1" s="20" t="n"/>
    </row>
    <row r="2" ht="18" customHeight="1">
      <c r="A2" s="21" t="inlineStr">
        <is>
          <t>Proyectos Topograficos y Construcciones | UAA 2025</t>
        </is>
      </c>
    </row>
    <row r="4">
      <c r="A4" s="22" t="inlineStr">
        <is>
          <t>TOTALES</t>
        </is>
      </c>
      <c r="B4" s="20" t="n"/>
    </row>
    <row r="5">
      <c r="A5" s="23" t="inlineStr">
        <is>
          <t>Total RF (Requerimientos Funcionales)</t>
        </is>
      </c>
      <c r="B5" s="24">
        <f>COUNTA('RF - Funcionales'!A2:A200)</f>
        <v/>
      </c>
    </row>
    <row r="6">
      <c r="A6" s="23" t="inlineStr">
        <is>
          <t>Total RNF (Requerimientos No Funcionales)</t>
        </is>
      </c>
      <c r="B6" s="24">
        <f>COUNTA('RNF - No Funcionales'!A2:A200)</f>
        <v/>
      </c>
    </row>
    <row r="7">
      <c r="A7" s="23" t="inlineStr">
        <is>
          <t>TOTAL GENERAL</t>
        </is>
      </c>
      <c r="B7" s="24">
        <f>B5+B6</f>
        <v/>
      </c>
    </row>
    <row r="9">
      <c r="A9" s="25" t="inlineStr">
        <is>
          <t>POR PRIORIDAD (RF + RNF)</t>
        </is>
      </c>
      <c r="B9" s="20" t="n"/>
    </row>
    <row r="10">
      <c r="A10" s="11" t="inlineStr">
        <is>
          <t>Must have</t>
        </is>
      </c>
      <c r="B10" s="26">
        <f>COUNTIF('RF - Funcionales'!D2:D200,"Must have")+COUNTIF('RNF - No Funcionales'!E2:E200,"Must have")</f>
        <v/>
      </c>
    </row>
    <row r="11">
      <c r="A11" s="14" t="inlineStr">
        <is>
          <t>Should have</t>
        </is>
      </c>
      <c r="B11" s="27">
        <f>COUNTIF('RF - Funcionales'!D2:D200,"Should have")+COUNTIF('RNF - No Funcionales'!E2:E200,"Should have")</f>
        <v/>
      </c>
    </row>
    <row r="12">
      <c r="A12" s="17" t="inlineStr">
        <is>
          <t>Could have</t>
        </is>
      </c>
      <c r="B12" s="28">
        <f>COUNTIF('RF - Funcionales'!D2:D200,"Could have")+COUNTIF('RNF - No Funcionales'!E2:E200,"Could have")</f>
        <v/>
      </c>
    </row>
    <row r="13">
      <c r="A13" s="29" t="inlineStr">
        <is>
          <t>Won't have</t>
        </is>
      </c>
      <c r="B13" s="30">
        <f>COUNTIF('RF - Funcionales'!D2:D200,"Won't have")+COUNTIF('RNF - No Funcionales'!E2:E200,"Won't have")</f>
        <v/>
      </c>
    </row>
    <row r="15">
      <c r="A15" s="31" t="inlineStr">
        <is>
          <t>POR ESTADO (RF + RNF)</t>
        </is>
      </c>
      <c r="B15" s="20" t="n"/>
    </row>
    <row r="16">
      <c r="A16" s="32" t="inlineStr">
        <is>
          <t>Propuesto</t>
        </is>
      </c>
      <c r="B16" s="33">
        <f>COUNTIF('RF - Funcionales'!F2:F200,"Propuesto")+COUNTIF('RNF - No Funcionales'!G2:G200,"Propuesto")</f>
        <v/>
      </c>
    </row>
    <row r="17">
      <c r="A17" s="23" t="inlineStr">
        <is>
          <t>En revision</t>
        </is>
      </c>
      <c r="B17" s="24">
        <f>COUNTIF('RF - Funcionales'!F2:F200,"En revision")+COUNTIF('RNF - No Funcionales'!G2:G200,"En revision")</f>
        <v/>
      </c>
    </row>
    <row r="18">
      <c r="A18" s="34" t="inlineStr">
        <is>
          <t>Validado internamente</t>
        </is>
      </c>
      <c r="B18" s="35">
        <f>COUNTIF('RF - Funcionales'!F2:F200,"Validado internamente")+COUNTIF('RNF - No Funcionales'!G2:G200,"Validado internamente")</f>
        <v/>
      </c>
    </row>
    <row r="19">
      <c r="A19" s="36" t="inlineStr">
        <is>
          <t>Validado con cliente</t>
        </is>
      </c>
      <c r="B19" s="37">
        <f>COUNTIF('RF - Funcionales'!F2:F200,"Validado con cliente")+COUNTIF('RNF - No Funcionales'!G2:G200,"Validado con cliente")</f>
        <v/>
      </c>
    </row>
    <row r="20">
      <c r="A20" s="38" t="inlineStr">
        <is>
          <t>Rechazado</t>
        </is>
      </c>
      <c r="B20" s="39">
        <f>COUNTIF('RF - Funcionales'!F2:F200,"Rechazado")+COUNTIF('RNF - No Funcionales'!G2:G200,"Rechazado")</f>
        <v/>
      </c>
    </row>
    <row r="22">
      <c r="A22" s="31" t="inlineStr">
        <is>
          <t>RF POR PRIORIDAD</t>
        </is>
      </c>
      <c r="B22" s="20" t="n"/>
    </row>
    <row r="23">
      <c r="A23" s="11" t="inlineStr">
        <is>
          <t>Must have (solo RF)</t>
        </is>
      </c>
      <c r="B23" s="26">
        <f>COUNTIF('RF - Funcionales'!D2:D200,"Must have")</f>
        <v/>
      </c>
    </row>
    <row r="24">
      <c r="A24" s="14" t="inlineStr">
        <is>
          <t>Should have (solo RF)</t>
        </is>
      </c>
      <c r="B24" s="27">
        <f>COUNTIF('RF - Funcionales'!D2:D200,"Should have")</f>
        <v/>
      </c>
    </row>
    <row r="25">
      <c r="A25" s="17" t="inlineStr">
        <is>
          <t>Could have (solo RF)</t>
        </is>
      </c>
      <c r="B25" s="28">
        <f>COUNTIF('RF - Funcionales'!D2:D200,"Could have")</f>
        <v/>
      </c>
    </row>
    <row r="27">
      <c r="A27" s="31" t="inlineStr">
        <is>
          <t>RNF POR CATEGORIA</t>
        </is>
      </c>
      <c r="B27" s="20" t="n"/>
    </row>
    <row r="28">
      <c r="A28" s="40" t="inlineStr">
        <is>
          <t>Seguridad</t>
        </is>
      </c>
      <c r="B28" s="41">
        <f>COUNTIF('RNF - No Funcionales'!B2:B200,"Seguridad")</f>
        <v/>
      </c>
    </row>
    <row r="29">
      <c r="A29" s="40" t="inlineStr">
        <is>
          <t>Disponibilidad</t>
        </is>
      </c>
      <c r="B29" s="41">
        <f>COUNTIF('RNF - No Funcionales'!B2:B200,"Disponibilidad")</f>
        <v/>
      </c>
    </row>
    <row r="30">
      <c r="A30" s="40" t="inlineStr">
        <is>
          <t>Confiabilidad</t>
        </is>
      </c>
      <c r="B30" s="41">
        <f>COUNTIF('RNF - No Funcionales'!B2:B200,"Confiabilidad")</f>
        <v/>
      </c>
    </row>
    <row r="31">
      <c r="A31" s="40" t="inlineStr">
        <is>
          <t>Rendimiento</t>
        </is>
      </c>
      <c r="B31" s="41">
        <f>COUNTIF('RNF - No Funcionales'!B2:B200,"Rendimiento")</f>
        <v/>
      </c>
    </row>
    <row r="32">
      <c r="A32" s="40" t="inlineStr">
        <is>
          <t>Integridad</t>
        </is>
      </c>
      <c r="B32" s="41">
        <f>COUNTIF('RNF - No Funcionales'!B2:B200,"Integridad")</f>
        <v/>
      </c>
    </row>
    <row r="33">
      <c r="A33" s="40" t="inlineStr">
        <is>
          <t>Usabilidad</t>
        </is>
      </c>
      <c r="B33" s="41">
        <f>COUNTIF('RNF - No Funcionales'!B2:B200,"Usabilidad")</f>
        <v/>
      </c>
    </row>
    <row r="34">
      <c r="A34" s="40" t="inlineStr">
        <is>
          <t>Privacidad</t>
        </is>
      </c>
      <c r="B34" s="41">
        <f>COUNTIF('RNF - No Funcionales'!B2:B200,"Privacidad")</f>
        <v/>
      </c>
    </row>
    <row r="35">
      <c r="A35" s="40" t="inlineStr">
        <is>
          <t>Escalabilidad</t>
        </is>
      </c>
      <c r="B35" s="41">
        <f>COUNTIF('RNF - No Funcionales'!B2:B200,"Escalabilidad")</f>
        <v/>
      </c>
    </row>
    <row r="36">
      <c r="A36" s="40" t="inlineStr">
        <is>
          <t>Mantenibilidad</t>
        </is>
      </c>
      <c r="B36" s="41">
        <f>COUNTIF('RNF - No Funcionales'!B2:B200,"Mantenibilidad")</f>
        <v/>
      </c>
    </row>
  </sheetData>
  <mergeCells count="6">
    <mergeCell ref="A4:B4"/>
    <mergeCell ref="A15:B15"/>
    <mergeCell ref="A1:B1"/>
    <mergeCell ref="A9:B9"/>
    <mergeCell ref="A27:B27"/>
    <mergeCell ref="A22:B2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2026-04-15T22:17:48Z</dcterms:created>
  <dcterms:modified xmlns:dcterms="http://purl.org/dc/terms/" xmlns:xsi="http://www.w3.org/2001/XMLSchema-instance" xsi:type="dcterms:W3CDTF">2026-04-15T22:17:48Z</dcterms:modified>
</cp:coreProperties>
</file>